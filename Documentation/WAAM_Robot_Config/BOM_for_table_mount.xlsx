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0" documentId="13_ncr:1_{9DAE74C1-A481-4B95-A91A-1646F7E724A7}" xr6:coauthVersionLast="47" xr6:coauthVersionMax="47" xr10:uidLastSave="{00000000-0000-0000-0000-000000000000}"/>
  <bookViews>
    <workbookView xWindow="9030" yWindow="2925" windowWidth="18555" windowHeight="130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3" i="1"/>
  <c r="G2" i="1"/>
  <c r="G6" i="1" l="1"/>
</calcChain>
</file>

<file path=xl/sharedStrings.xml><?xml version="1.0" encoding="utf-8"?>
<sst xmlns="http://schemas.openxmlformats.org/spreadsheetml/2006/main" count="34" uniqueCount="32">
  <si>
    <t>Item</t>
  </si>
  <si>
    <t>Part Number</t>
  </si>
  <si>
    <t>Description</t>
  </si>
  <si>
    <t>Unit</t>
  </si>
  <si>
    <t>Key Specs</t>
  </si>
  <si>
    <t>91595A452</t>
  </si>
  <si>
    <t>Dowel Pin, Plain, Alloy Steel, Metric</t>
  </si>
  <si>
    <t>Pack of 25</t>
  </si>
  <si>
    <t>Dia: 6 mm, Length: 20 mm, Material: 52100 Alloy Steel, Standards: DIN 6325-m6, ISO 8734</t>
  </si>
  <si>
    <t>Quantity</t>
  </si>
  <si>
    <t>Cost</t>
  </si>
  <si>
    <t>Price</t>
  </si>
  <si>
    <t>Note</t>
  </si>
  <si>
    <t>Link</t>
  </si>
  <si>
    <t>https://www.mcmaster.com/91595A452/</t>
  </si>
  <si>
    <t>Pack of 10</t>
  </si>
  <si>
    <t>High-Strength Nylon-Insert Locknut, M12</t>
  </si>
  <si>
    <t>98688A177</t>
  </si>
  <si>
    <t>Undersized Flat Washer, General Purpose</t>
  </si>
  <si>
    <t>For Screw: M12; ID: 13.0 mm; OD: 20.0 mm; Material: Zinc-Plated Steel; Spec: DIN 433; Class: 8.8</t>
  </si>
  <si>
    <t>For narrow-head screws, Medium Strength</t>
  </si>
  <si>
    <t>https://www.mcmaster.com/98688A177/</t>
  </si>
  <si>
    <t>94645A229</t>
  </si>
  <si>
    <t>High Strength, Vibration Resistant, Max Temp 220 F</t>
  </si>
  <si>
    <t>High-stress applications, partially threaded, good corrosion resistance</t>
  </si>
  <si>
    <t>Sum</t>
  </si>
  <si>
    <t>Material: Zinc-Plated Steel (Cl 10); Thread: M12×1.75 mm (Fine); H: 12 mm; Spec: DIN 985</t>
  </si>
  <si>
    <t>https://www.mcmaster.com/94645A230/</t>
  </si>
  <si>
    <t>https://www.mcmaster.com/95327A678/</t>
  </si>
  <si>
    <t>Material: Steel (Cl 10.9); Thread: M12×1.75 mm (Fine); TS: 150,000 psi; Spec: ISO 4014, DIN 931</t>
  </si>
  <si>
    <t>Hex Head Screw, Zinc Yellow-Chromate, M12×45 mm</t>
  </si>
  <si>
    <t>95327A678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</si>
</sst>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[$$-409]#,##0.00"/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[$$-409]#,##0.00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[$$-409]#,##0.00"/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17EEBB-595A-4C4D-BA17-B324B4C58FF2}" name="Table2" displayName="Table2" ref="A1:J6" totalsRowShown="0" headerRowDxfId="24" dataDxfId="22" headerRowBorderDxfId="23" tableBorderDxfId="21" totalsRowBorderDxfId="20">
  <autoFilter ref="A1:J6" xr:uid="{3717EEBB-595A-4C4D-BA17-B324B4C58FF2}"/>
  <tableColumns count="10">
    <tableColumn id="1" xr3:uid="{1BABA2C7-9DBD-4A35-830F-A523DEB06B0B}" name="Item" dataDxfId="19" totalsRowDxfId="18"/>
    <tableColumn id="2" xr3:uid="{61865491-C6D3-457E-8F7F-CA47E45CD155}" name="Part Number" dataDxfId="17" totalsRowDxfId="16"/>
    <tableColumn id="3" xr3:uid="{106FB5A6-C2B9-4A54-AF8F-BCD76F5978AD}" name="Description" dataDxfId="15" totalsRowDxfId="14"/>
    <tableColumn id="4" xr3:uid="{BED5EC71-ADC1-4DEB-B83D-0D0E8A9CC4F1}" name="Quantity" dataDxfId="13" totalsRowDxfId="12"/>
    <tableColumn id="5" xr3:uid="{BBEAD3CC-7538-4E2E-AC5E-074230B36341}" name="Unit" dataDxfId="11" totalsRowDxfId="10"/>
    <tableColumn id="6" xr3:uid="{5088C195-DD3D-45A0-AB9B-8C43A394545A}" name="Price" dataDxfId="9" totalsRowDxfId="8"/>
    <tableColumn id="7" xr3:uid="{7CFEB62F-F83E-4BEB-8693-2D5CCD8A73FE}" name="Cost" dataDxfId="7" totalsRowDxfId="6">
      <calculatedColumnFormula>Table2[[#This Row],[Quantity]]*Table2[[#This Row],[Price]]</calculatedColumnFormula>
    </tableColumn>
    <tableColumn id="8" xr3:uid="{6378D3EE-F125-4661-9122-B4B8400C8D4B}" name="Key Specs" dataDxfId="5" totalsRowDxfId="4"/>
    <tableColumn id="11" xr3:uid="{1B7F7124-5631-4D15-BE46-889D438D76D6}" name="Link" dataDxfId="3" totalsRowDxfId="2"/>
    <tableColumn id="10" xr3:uid="{D1E27D60-91B4-4920-B083-158635497006}" name="Note" dataDxfId="1" totalsRow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cmaster.com/94645A230/" TargetMode="External"/><Relationship Id="rId2" Type="http://schemas.openxmlformats.org/officeDocument/2006/relationships/hyperlink" Target="https://www.mcmaster.com/98688A177/" TargetMode="External"/><Relationship Id="rId1" Type="http://schemas.openxmlformats.org/officeDocument/2006/relationships/hyperlink" Target="https://www.mcmaster.com/91595A452/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cmaster.com/95327A67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0" sqref="G10"/>
    </sheetView>
  </sheetViews>
  <sheetFormatPr defaultRowHeight="12.75" x14ac:dyDescent="0.25"/>
  <cols>
    <col min="1" max="1" width="9.140625" style="1"/>
    <col min="2" max="2" width="13.5703125" style="1" customWidth="1"/>
    <col min="3" max="3" width="43.7109375" style="1" customWidth="1"/>
    <col min="4" max="4" width="9.5703125" style="1" customWidth="1"/>
    <col min="5" max="5" width="11.5703125" style="1" customWidth="1"/>
    <col min="6" max="6" width="12.140625" style="1" customWidth="1"/>
    <col min="7" max="7" width="13.5703125" style="1" customWidth="1"/>
    <col min="8" max="8" width="80.85546875" style="1" customWidth="1"/>
    <col min="9" max="9" width="49.85546875" style="1" customWidth="1"/>
    <col min="10" max="10" width="63.85546875" style="1" customWidth="1"/>
    <col min="11" max="16384" width="9.140625" style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9</v>
      </c>
      <c r="E1" s="3" t="s">
        <v>3</v>
      </c>
      <c r="F1" s="3" t="s">
        <v>11</v>
      </c>
      <c r="G1" s="3" t="s">
        <v>10</v>
      </c>
      <c r="H1" s="3" t="s">
        <v>4</v>
      </c>
      <c r="I1" s="3" t="s">
        <v>13</v>
      </c>
      <c r="J1" s="4" t="s">
        <v>12</v>
      </c>
    </row>
    <row r="2" spans="1:10" x14ac:dyDescent="0.25">
      <c r="A2" s="5">
        <v>1</v>
      </c>
      <c r="B2" s="6" t="s">
        <v>5</v>
      </c>
      <c r="C2" s="6" t="s">
        <v>6</v>
      </c>
      <c r="D2" s="6">
        <v>1</v>
      </c>
      <c r="E2" s="6" t="s">
        <v>7</v>
      </c>
      <c r="F2" s="7">
        <v>11.62</v>
      </c>
      <c r="G2" s="7">
        <f>Table2[[#This Row],[Quantity]]*Table2[[#This Row],[Price]]</f>
        <v>11.62</v>
      </c>
      <c r="H2" s="8" t="s">
        <v>8</v>
      </c>
      <c r="I2" s="9" t="s">
        <v>14</v>
      </c>
      <c r="J2" s="10"/>
    </row>
    <row r="3" spans="1:10" ht="15" x14ac:dyDescent="0.25">
      <c r="A3" s="5">
        <v>2</v>
      </c>
      <c r="B3" s="8" t="s">
        <v>22</v>
      </c>
      <c r="C3" s="8" t="s">
        <v>16</v>
      </c>
      <c r="D3" s="8">
        <v>1</v>
      </c>
      <c r="E3" s="8" t="s">
        <v>15</v>
      </c>
      <c r="F3" s="11">
        <v>11.01</v>
      </c>
      <c r="G3" s="11">
        <f>Table2[[#This Row],[Quantity]]*Table2[[#This Row],[Price]]</f>
        <v>11.01</v>
      </c>
      <c r="H3" s="8" t="s">
        <v>26</v>
      </c>
      <c r="I3" s="12" t="s">
        <v>27</v>
      </c>
      <c r="J3" s="10" t="s">
        <v>23</v>
      </c>
    </row>
    <row r="4" spans="1:10" ht="15" x14ac:dyDescent="0.25">
      <c r="A4" s="5">
        <v>3</v>
      </c>
      <c r="B4" s="8" t="s">
        <v>17</v>
      </c>
      <c r="C4" s="8" t="s">
        <v>18</v>
      </c>
      <c r="D4" s="8">
        <v>1</v>
      </c>
      <c r="E4" s="8" t="s">
        <v>7</v>
      </c>
      <c r="F4" s="11">
        <v>11.13</v>
      </c>
      <c r="G4" s="11">
        <f>Table2[[#This Row],[Quantity]]*Table2[[#This Row],[Price]]</f>
        <v>11.13</v>
      </c>
      <c r="H4" s="8" t="s">
        <v>19</v>
      </c>
      <c r="I4" s="12" t="s">
        <v>21</v>
      </c>
      <c r="J4" s="10" t="s">
        <v>20</v>
      </c>
    </row>
    <row r="5" spans="1:10" ht="15" x14ac:dyDescent="0.25">
      <c r="A5" s="5">
        <v>4</v>
      </c>
      <c r="B5" t="s">
        <v>31</v>
      </c>
      <c r="C5" s="8" t="s">
        <v>30</v>
      </c>
      <c r="D5" s="8">
        <v>1</v>
      </c>
      <c r="E5" s="8" t="s">
        <v>15</v>
      </c>
      <c r="F5" s="11">
        <v>18.47</v>
      </c>
      <c r="G5" s="11">
        <f>Table2[[#This Row],[Quantity]]*Table2[[#This Row],[Price]]</f>
        <v>18.47</v>
      </c>
      <c r="H5" s="8" t="s">
        <v>29</v>
      </c>
      <c r="I5" s="12" t="s">
        <v>28</v>
      </c>
      <c r="J5" s="10" t="s">
        <v>24</v>
      </c>
    </row>
    <row r="6" spans="1:10" x14ac:dyDescent="0.25">
      <c r="A6" s="16" t="s">
        <v>25</v>
      </c>
      <c r="B6" s="13"/>
      <c r="C6" s="13"/>
      <c r="D6" s="13"/>
      <c r="E6" s="13"/>
      <c r="F6" s="14"/>
      <c r="G6" s="14">
        <f>SUBTOTAL(109,G2:G5)</f>
        <v>52.23</v>
      </c>
      <c r="H6" s="13"/>
      <c r="I6" s="13"/>
      <c r="J6" s="15"/>
    </row>
  </sheetData>
  <hyperlinks>
    <hyperlink ref="I2" r:id="rId1" xr:uid="{30E68DFC-1F1F-4891-A51D-CB9F2D171FC5}"/>
    <hyperlink ref="I4" r:id="rId2" xr:uid="{C4D72A43-231D-49CB-8EED-895960C7DC20}"/>
    <hyperlink ref="I3" r:id="rId3" xr:uid="{67BFF6AE-77A1-42DA-B966-4EB4AF716D6C}"/>
    <hyperlink ref="I5" r:id="rId4" xr:uid="{FC64A2E7-DAA1-48B9-A21B-7D25902DE7ED}"/>
  </hyperlinks>
  <pageMargins left="0.7" right="0.7" top="0.75" bottom="0.75" header="0.3" footer="0.3"/>
  <pageSetup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2025-10-13T20:54:37Z</dcterms:modified>
</cp:coreProperties>
</file>