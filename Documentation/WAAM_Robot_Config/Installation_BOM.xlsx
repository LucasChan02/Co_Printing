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B017D35B-58FA-434D-8DF3-62B8A016D37E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<sst xmlns="http://schemas.openxmlformats.org/spreadsheetml/2006/main" count="88" uniqueCount="83">
  <si>
    <t>Item</t>
  </si>
  <si>
    <t>Part Number</t>
  </si>
  <si>
    <t>Description</t>
  </si>
  <si>
    <t>Unit</t>
  </si>
  <si>
    <t>Key Specs</t>
  </si>
  <si>
    <t>91595A452</t>
  </si>
  <si>
    <t>Dowel Pin, Plain, Alloy Steel, Metric</t>
  </si>
  <si>
    <t>Pack of 25</t>
  </si>
  <si>
    <t>Dia: 6 mm, Length: 20 mm, Material: 52100 Alloy Steel, Standards: DIN 6325-m6, ISO 8734</t>
  </si>
  <si>
    <t>Quantity</t>
  </si>
  <si>
    <t>Cost</t>
  </si>
  <si>
    <t>Price</t>
  </si>
  <si>
    <t>Note</t>
  </si>
  <si>
    <t>Link</t>
  </si>
  <si>
    <t>https://www.mcmaster.com/91595A452/</t>
  </si>
  <si>
    <t>89155K16</t>
  </si>
  <si>
    <t>Aluminum Sheet, 6061-T651</t>
  </si>
  <si>
    <t>Each</t>
  </si>
  <si>
    <t>Size: 12" x 12" x 1"; Yield Str: 35,000 psi; Specs: ASTM B209; Cert: Material Cert</t>
  </si>
  <si>
    <t>Oversized Thickness, Easy to Machine/Weld,</t>
  </si>
  <si>
    <t>https://www.mcmaster.com/89155K16-89155K741/</t>
  </si>
  <si>
    <t>4976N41</t>
  </si>
  <si>
    <t>T-Slot Double Nut, End-Feed</t>
  </si>
  <si>
    <t>Pack of 10</t>
  </si>
  <si>
    <t>For Rail: 25 mm; Thread: M6; Material: Zinc-Plated Steel; Installation: End Feed</t>
  </si>
  <si>
    <t>https://www.mcmaster.com/4976N41/</t>
  </si>
  <si>
    <t>Offset mounting hole, stronger connection</t>
  </si>
  <si>
    <t>5278N52</t>
  </si>
  <si>
    <t>T-Slot Nut, Self-Aligning, End-Feed</t>
  </si>
  <si>
    <t>Pack of 4</t>
  </si>
  <si>
    <t>For Rail: 1" &amp; 25 mm; Thread: M6; Material: Zinc-Plated Steel; Feature: Self-Aligning</t>
  </si>
  <si>
    <t>https://www.mcmaster.com/5278N52/</t>
  </si>
  <si>
    <t>Stronger connection, Centered mounting hole</t>
  </si>
  <si>
    <t>93070A156</t>
  </si>
  <si>
    <t>Low-Profile Socket Head Screw, M6×45 mm</t>
  </si>
  <si>
    <t>Material: Alloy Steel (Cl 8.8); Head Ht: 4 mm; Thread Pitch: 1 mm; Spec: DIN 7984</t>
  </si>
  <si>
    <t>Fits tight spaces, partially threaded</t>
  </si>
  <si>
    <t>https://www.mcmaster.com/93070A156/</t>
  </si>
  <si>
    <t>91455A120</t>
  </si>
  <si>
    <t>Flat Washer, General Purpose, M6</t>
  </si>
  <si>
    <t>Pack of 100</t>
  </si>
  <si>
    <t>Material: Zinc-Plated Steel; ID: 6.4 mm; OD: 12.0 mm; Spec: DIN 125, ISO 7089; Class: 8.8</t>
  </si>
  <si>
    <t>Medium Strength Rating, Common for moisture exposure</t>
  </si>
  <si>
    <t>https://www.mcmaster.com/91455A120/</t>
  </si>
  <si>
    <t>91290A330</t>
  </si>
  <si>
    <t>Socket Head Screw, Black-Oxide, M6×25 mm</t>
  </si>
  <si>
    <t>Pack of 50</t>
  </si>
  <si>
    <t>Material: Alloy Steel (Cl 12.9); TS: 170,000 psi; Threading: Fully; Spec: DIN 912, ISO 4762; COO: USA</t>
  </si>
  <si>
    <t>Highest strength class, mild corrosion resistance (dry)</t>
  </si>
  <si>
    <t>https://www.mcmaster.com/91290A330/</t>
  </si>
  <si>
    <t>90576A115</t>
  </si>
  <si>
    <t>Nylon-Insert Locknut, M6</t>
  </si>
  <si>
    <t>Material: Zinc-Plated Steel (Cl 8); Thread: M6×1 mm; H: 6 mm; Spec: DIN 985, ISO 10511</t>
  </si>
  <si>
    <t>https://www.mcmaster.com/90576A115/</t>
  </si>
  <si>
    <t>Vibration resistant, reusable, Max Temp 220 F</t>
  </si>
  <si>
    <t>High-Strength Nylon-Insert Locknut, M12</t>
  </si>
  <si>
    <t>98688A177</t>
  </si>
  <si>
    <t>Undersized Flat Washer, General Purpose</t>
  </si>
  <si>
    <t>For Screw: M12; ID: 13.0 mm; OD: 20.0 mm; Material: Zinc-Plated Steel; Spec: DIN 433; Class: 8.8</t>
  </si>
  <si>
    <t>For narrow-head screws, Medium Strength</t>
  </si>
  <si>
    <t>https://www.mcmaster.com/98688A177/</t>
  </si>
  <si>
    <t>94645A229</t>
  </si>
  <si>
    <t>Material: Zinc-Plated Steel (Cl 10); Thread: M12×1.5 mm (Fine); H: 12 mm; Spec: DIN 985, ISO 10511</t>
  </si>
  <si>
    <t>High Strength, Vibration Resistant, Max Temp 220 F</t>
  </si>
  <si>
    <t>https://www.mcmaster.com/94645A229/</t>
  </si>
  <si>
    <t>90854A823</t>
  </si>
  <si>
    <t>Hex Head Screw, Zinc Yellow-Chromate, M12×70 mm</t>
  </si>
  <si>
    <t>Pack of 5</t>
  </si>
  <si>
    <t>Material: Steel (Cl 10.9); Thread: M12×1.5 mm (Fine); TS: 150,000 psi; Spec: DIN 960</t>
  </si>
  <si>
    <t>High-stress applications, partially threaded, good corrosion resistance</t>
  </si>
  <si>
    <t>https://www.mcmaster.com/90854A823/</t>
  </si>
  <si>
    <t>6575N411</t>
  </si>
  <si>
    <t>T-Slot Rail, Double Six Slot, Solid</t>
  </si>
  <si>
    <t>Size: 50mm×25mm; Material: 6560 Aluminum, Anodized; COO: USA; Feature: Solid</t>
  </si>
  <si>
    <t>Smooth, Stronger than hollow, Price is per cm</t>
  </si>
  <si>
    <t>https://www.mcmaster.com/6575N411/</t>
  </si>
  <si>
    <t>60cm, $0.37 per cm</t>
  </si>
  <si>
    <t>4844N114</t>
  </si>
  <si>
    <t>T-Slot Corner Bracket, Extended</t>
  </si>
  <si>
    <t>Material: Anodized 6063 Alum.; For Rail Ht: 50 mm; Angle: 90?; Fasteners: Included (8 x M6)</t>
  </si>
  <si>
    <t>Stronger connection, No rail machining req'd, Made in USA</t>
  </si>
  <si>
    <t>https://www.mcmaster.com/4844N114/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</si>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</sst>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164" fontId="2" fillId="0" borderId="8" xfId="0" applyNumberFormat="1" applyFont="1" applyBorder="1" applyAlignment="1">
      <alignment horizontal="left" vertical="center"/>
    </xf>
    <xf numFmtId="0" fontId="1" fillId="0" borderId="8" xfId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[$$-409]#,##0.00"/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[$$-409]#,##0.00"/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numFmt numFmtId="164" formatCode="[$$-409]#,##0.00"/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left"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0"/>
        <name val="Arial"/>
        <family val="2"/>
        <scheme val="none"/>
      </font>
      <alignment horizontal="left" vertical="center" textRotation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17EEBB-595A-4C4D-BA17-B324B4C58FF2}" name="Table2" displayName="Table2" ref="A1:J15" totalsRowShown="0" headerRowDxfId="24" dataDxfId="22" headerRowBorderDxfId="23" tableBorderDxfId="21" totalsRowBorderDxfId="20">
  <autoFilter ref="A1:J15" xr:uid="{3717EEBB-595A-4C4D-BA17-B324B4C58FF2}"/>
  <tableColumns count="10">
    <tableColumn id="1" xr3:uid="{1BABA2C7-9DBD-4A35-830F-A523DEB06B0B}" name="Item" dataDxfId="19" totalsRowDxfId="18"/>
    <tableColumn id="2" xr3:uid="{61865491-C6D3-457E-8F7F-CA47E45CD155}" name="Part Number" dataDxfId="17" totalsRowDxfId="16"/>
    <tableColumn id="3" xr3:uid="{106FB5A6-C2B9-4A54-AF8F-BCD76F5978AD}" name="Description" dataDxfId="15" totalsRowDxfId="14"/>
    <tableColumn id="4" xr3:uid="{BED5EC71-ADC1-4DEB-B83D-0D0E8A9CC4F1}" name="Quantity" dataDxfId="13" totalsRowDxfId="12"/>
    <tableColumn id="5" xr3:uid="{BBEAD3CC-7538-4E2E-AC5E-074230B36341}" name="Unit" dataDxfId="11" totalsRowDxfId="10"/>
    <tableColumn id="6" xr3:uid="{5088C195-DD3D-45A0-AB9B-8C43A394545A}" name="Price" dataDxfId="9" totalsRowDxfId="8"/>
    <tableColumn id="7" xr3:uid="{7CFEB62F-F83E-4BEB-8693-2D5CCD8A73FE}" name="Cost" dataDxfId="7" totalsRowDxfId="6">
      <calculatedColumnFormula>Table2[[#This Row],[Quantity]]*Table2[[#This Row],[Price]]</calculatedColumnFormula>
    </tableColumn>
    <tableColumn id="8" xr3:uid="{6378D3EE-F125-4661-9122-B4B8400C8D4B}" name="Key Specs" dataDxfId="5" totalsRowDxfId="4"/>
    <tableColumn id="11" xr3:uid="{1B7F7124-5631-4D15-BE46-889D438D76D6}" name="Link" dataDxfId="3" totalsRowDxfId="2"/>
    <tableColumn id="10" xr3:uid="{D1E27D60-91B4-4920-B083-158635497006}" name="Note" dataDxfId="1" totalsRow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cmaster.com/90576A115/" TargetMode="External"/><Relationship Id="rId13" Type="http://schemas.openxmlformats.org/officeDocument/2006/relationships/hyperlink" Target="https://www.mcmaster.com/4844N114/" TargetMode="External"/><Relationship Id="rId3" Type="http://schemas.openxmlformats.org/officeDocument/2006/relationships/hyperlink" Target="https://www.mcmaster.com/4976N41/" TargetMode="External"/><Relationship Id="rId7" Type="http://schemas.openxmlformats.org/officeDocument/2006/relationships/hyperlink" Target="https://www.mcmaster.com/91290A330/" TargetMode="External"/><Relationship Id="rId12" Type="http://schemas.openxmlformats.org/officeDocument/2006/relationships/hyperlink" Target="https://www.mcmaster.com/6575N411/" TargetMode="External"/><Relationship Id="rId2" Type="http://schemas.openxmlformats.org/officeDocument/2006/relationships/hyperlink" Target="https://www.mcmaster.com/89155K16-89155K741/" TargetMode="External"/><Relationship Id="rId1" Type="http://schemas.openxmlformats.org/officeDocument/2006/relationships/hyperlink" Target="https://www.mcmaster.com/91595A452/" TargetMode="External"/><Relationship Id="rId6" Type="http://schemas.openxmlformats.org/officeDocument/2006/relationships/hyperlink" Target="https://www.mcmaster.com/91455A120/" TargetMode="External"/><Relationship Id="rId11" Type="http://schemas.openxmlformats.org/officeDocument/2006/relationships/hyperlink" Target="https://www.mcmaster.com/90854A823/" TargetMode="External"/><Relationship Id="rId5" Type="http://schemas.openxmlformats.org/officeDocument/2006/relationships/hyperlink" Target="https://www.mcmaster.com/93070A156/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www.mcmaster.com/94645A229/" TargetMode="External"/><Relationship Id="rId4" Type="http://schemas.openxmlformats.org/officeDocument/2006/relationships/hyperlink" Target="https://www.mcmaster.com/5278N52/" TargetMode="External"/><Relationship Id="rId9" Type="http://schemas.openxmlformats.org/officeDocument/2006/relationships/hyperlink" Target="https://www.mcmaster.com/98688A177/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G15" sqref="G15"/>
    </sheetView>
  </sheetViews>
  <sheetFormatPr defaultRowHeight="12.75" x14ac:dyDescent="0.25"/>
  <cols>
    <col min="1" max="1" width="9.140625" style="1"/>
    <col min="2" max="2" width="13.5703125" style="1" customWidth="1"/>
    <col min="3" max="3" width="43.7109375" style="1" customWidth="1"/>
    <col min="4" max="4" width="9.5703125" style="1" customWidth="1"/>
    <col min="5" max="5" width="11.5703125" style="1" customWidth="1"/>
    <col min="6" max="6" width="12.140625" style="1" customWidth="1"/>
    <col min="7" max="7" width="13.5703125" style="1" customWidth="1"/>
    <col min="8" max="8" width="80.85546875" style="1" customWidth="1"/>
    <col min="9" max="9" width="49.85546875" style="1" customWidth="1"/>
    <col min="10" max="10" width="63.85546875" style="1" customWidth="1"/>
    <col min="11" max="16384" width="9.140625" style="1"/>
  </cols>
  <sheetData>
    <row r="1" spans="1:10" x14ac:dyDescent="0.25">
      <c r="A1" s="2" t="s">
        <v>0</v>
      </c>
      <c r="B1" s="3" t="s">
        <v>1</v>
      </c>
      <c r="C1" s="3" t="s">
        <v>2</v>
      </c>
      <c r="D1" s="3" t="s">
        <v>9</v>
      </c>
      <c r="E1" s="3" t="s">
        <v>3</v>
      </c>
      <c r="F1" s="3" t="s">
        <v>11</v>
      </c>
      <c r="G1" s="3" t="s">
        <v>10</v>
      </c>
      <c r="H1" s="3" t="s">
        <v>4</v>
      </c>
      <c r="I1" s="3" t="s">
        <v>13</v>
      </c>
      <c r="J1" s="4" t="s">
        <v>12</v>
      </c>
    </row>
    <row r="2" spans="1:10" x14ac:dyDescent="0.25">
      <c r="A2" s="5">
        <v>1</v>
      </c>
      <c r="B2" s="6" t="s">
        <v>5</v>
      </c>
      <c r="C2" s="6" t="s">
        <v>6</v>
      </c>
      <c r="D2" s="6">
        <v>1</v>
      </c>
      <c r="E2" s="6" t="s">
        <v>7</v>
      </c>
      <c r="F2" s="7">
        <v>11.62</v>
      </c>
      <c r="G2" s="7">
        <f>Table2[[#This Row],[Quantity]]*Table2[[#This Row],[Price]]</f>
        <v>11.62</v>
      </c>
      <c r="H2" s="8" t="s">
        <v>8</v>
      </c>
      <c r="I2" s="9" t="s">
        <v>14</v>
      </c>
      <c r="J2" s="10"/>
    </row>
    <row r="3" spans="1:10" ht="15" x14ac:dyDescent="0.25">
      <c r="A3" s="11">
        <v>2</v>
      </c>
      <c r="B3" s="8" t="s">
        <v>15</v>
      </c>
      <c r="C3" s="8" t="s">
        <v>16</v>
      </c>
      <c r="D3" s="8">
        <v>2</v>
      </c>
      <c r="E3" s="8" t="s">
        <v>17</v>
      </c>
      <c r="F3" s="12">
        <v>112.08</v>
      </c>
      <c r="G3" s="12">
        <f>Table2[[#This Row],[Quantity]]*Table2[[#This Row],[Price]]</f>
        <v>224.16</v>
      </c>
      <c r="H3" s="8" t="s">
        <v>18</v>
      </c>
      <c r="I3" s="13" t="s">
        <v>20</v>
      </c>
      <c r="J3" s="10" t="s">
        <v>19</v>
      </c>
    </row>
    <row r="4" spans="1:10" ht="15" x14ac:dyDescent="0.25">
      <c r="A4" s="5">
        <v>3</v>
      </c>
      <c r="B4" s="8" t="s">
        <v>21</v>
      </c>
      <c r="C4" s="8" t="s">
        <v>22</v>
      </c>
      <c r="D4" s="8">
        <v>2</v>
      </c>
      <c r="E4" s="8" t="s">
        <v>23</v>
      </c>
      <c r="F4" s="12">
        <v>8.09</v>
      </c>
      <c r="G4" s="12">
        <f>Table2[[#This Row],[Quantity]]*Table2[[#This Row],[Price]]</f>
        <v>16.18</v>
      </c>
      <c r="H4" s="8" t="s">
        <v>24</v>
      </c>
      <c r="I4" s="13" t="s">
        <v>25</v>
      </c>
      <c r="J4" s="10" t="s">
        <v>26</v>
      </c>
    </row>
    <row r="5" spans="1:10" ht="15" x14ac:dyDescent="0.25">
      <c r="A5" s="11">
        <v>4</v>
      </c>
      <c r="B5" s="8" t="s">
        <v>27</v>
      </c>
      <c r="C5" s="8" t="s">
        <v>28</v>
      </c>
      <c r="D5" s="8">
        <v>4</v>
      </c>
      <c r="E5" s="8" t="s">
        <v>29</v>
      </c>
      <c r="F5" s="12">
        <v>5.09</v>
      </c>
      <c r="G5" s="12">
        <f>Table2[[#This Row],[Quantity]]*Table2[[#This Row],[Price]]</f>
        <v>20.36</v>
      </c>
      <c r="H5" s="8" t="s">
        <v>30</v>
      </c>
      <c r="I5" s="13" t="s">
        <v>31</v>
      </c>
      <c r="J5" s="10" t="s">
        <v>32</v>
      </c>
    </row>
    <row r="6" spans="1:10" ht="15" x14ac:dyDescent="0.25">
      <c r="A6" s="5">
        <v>5</v>
      </c>
      <c r="B6" s="8" t="s">
        <v>33</v>
      </c>
      <c r="C6" s="8" t="s">
        <v>34</v>
      </c>
      <c r="D6" s="8">
        <v>2</v>
      </c>
      <c r="E6" s="8" t="s">
        <v>7</v>
      </c>
      <c r="F6" s="12">
        <v>9.4600000000000009</v>
      </c>
      <c r="G6" s="12">
        <f>Table2[[#This Row],[Quantity]]*Table2[[#This Row],[Price]]</f>
        <v>18.920000000000002</v>
      </c>
      <c r="H6" s="8" t="s">
        <v>35</v>
      </c>
      <c r="I6" s="13" t="s">
        <v>37</v>
      </c>
      <c r="J6" s="10" t="s">
        <v>36</v>
      </c>
    </row>
    <row r="7" spans="1:10" ht="15" x14ac:dyDescent="0.25">
      <c r="A7" s="11">
        <v>6</v>
      </c>
      <c r="B7" s="8" t="s">
        <v>38</v>
      </c>
      <c r="C7" s="8" t="s">
        <v>39</v>
      </c>
      <c r="D7" s="8">
        <v>1</v>
      </c>
      <c r="E7" s="8" t="s">
        <v>40</v>
      </c>
      <c r="F7" s="12">
        <v>5.65</v>
      </c>
      <c r="G7" s="12">
        <f>Table2[[#This Row],[Quantity]]*Table2[[#This Row],[Price]]</f>
        <v>5.65</v>
      </c>
      <c r="H7" s="8" t="s">
        <v>41</v>
      </c>
      <c r="I7" s="13" t="s">
        <v>43</v>
      </c>
      <c r="J7" s="10" t="s">
        <v>42</v>
      </c>
    </row>
    <row r="8" spans="1:10" ht="15" x14ac:dyDescent="0.25">
      <c r="A8" s="5">
        <v>7</v>
      </c>
      <c r="B8" s="8" t="s">
        <v>44</v>
      </c>
      <c r="C8" s="8" t="s">
        <v>45</v>
      </c>
      <c r="D8" s="8">
        <v>1</v>
      </c>
      <c r="E8" s="8" t="s">
        <v>46</v>
      </c>
      <c r="F8" s="12">
        <v>10.58</v>
      </c>
      <c r="G8" s="12">
        <f>Table2[[#This Row],[Quantity]]*Table2[[#This Row],[Price]]</f>
        <v>10.58</v>
      </c>
      <c r="H8" s="8" t="s">
        <v>47</v>
      </c>
      <c r="I8" s="13" t="s">
        <v>49</v>
      </c>
      <c r="J8" s="10" t="s">
        <v>48</v>
      </c>
    </row>
    <row r="9" spans="1:10" ht="15" x14ac:dyDescent="0.25">
      <c r="A9" s="11">
        <v>8</v>
      </c>
      <c r="B9" s="8" t="s">
        <v>50</v>
      </c>
      <c r="C9" s="8" t="s">
        <v>51</v>
      </c>
      <c r="D9" s="8">
        <v>1</v>
      </c>
      <c r="E9" s="8" t="s">
        <v>40</v>
      </c>
      <c r="F9" s="12">
        <v>4.7699999999999996</v>
      </c>
      <c r="G9" s="12">
        <f>Table2[[#This Row],[Quantity]]*Table2[[#This Row],[Price]]</f>
        <v>4.7699999999999996</v>
      </c>
      <c r="H9" s="8" t="s">
        <v>52</v>
      </c>
      <c r="I9" s="13" t="s">
        <v>53</v>
      </c>
      <c r="J9" s="10" t="s">
        <v>54</v>
      </c>
    </row>
    <row r="10" spans="1:10" ht="15" x14ac:dyDescent="0.25">
      <c r="A10" s="5">
        <v>9</v>
      </c>
      <c r="B10" s="8" t="s">
        <v>61</v>
      </c>
      <c r="C10" s="8" t="s">
        <v>55</v>
      </c>
      <c r="D10" s="8">
        <v>1</v>
      </c>
      <c r="E10" s="8" t="s">
        <v>23</v>
      </c>
      <c r="F10" s="12">
        <v>10.29</v>
      </c>
      <c r="G10" s="12">
        <f>Table2[[#This Row],[Quantity]]*Table2[[#This Row],[Price]]</f>
        <v>10.29</v>
      </c>
      <c r="H10" s="8" t="s">
        <v>62</v>
      </c>
      <c r="I10" s="13" t="s">
        <v>64</v>
      </c>
      <c r="J10" s="10" t="s">
        <v>63</v>
      </c>
    </row>
    <row r="11" spans="1:10" ht="15" x14ac:dyDescent="0.25">
      <c r="A11" s="11">
        <v>10</v>
      </c>
      <c r="B11" s="8" t="s">
        <v>56</v>
      </c>
      <c r="C11" s="8" t="s">
        <v>57</v>
      </c>
      <c r="D11" s="8">
        <v>1</v>
      </c>
      <c r="E11" s="8" t="s">
        <v>7</v>
      </c>
      <c r="F11" s="12">
        <v>11.13</v>
      </c>
      <c r="G11" s="12">
        <f>Table2[[#This Row],[Quantity]]*Table2[[#This Row],[Price]]</f>
        <v>11.13</v>
      </c>
      <c r="H11" s="8" t="s">
        <v>58</v>
      </c>
      <c r="I11" s="13" t="s">
        <v>60</v>
      </c>
      <c r="J11" s="10" t="s">
        <v>59</v>
      </c>
    </row>
    <row r="12" spans="1:10" ht="15" x14ac:dyDescent="0.25">
      <c r="A12" s="5">
        <v>11</v>
      </c>
      <c r="B12" s="8" t="s">
        <v>65</v>
      </c>
      <c r="C12" s="8" t="s">
        <v>66</v>
      </c>
      <c r="D12" s="8">
        <v>2</v>
      </c>
      <c r="E12" s="8" t="s">
        <v>67</v>
      </c>
      <c r="F12" s="12">
        <v>14.5</v>
      </c>
      <c r="G12" s="12">
        <f>Table2[[#This Row],[Quantity]]*Table2[[#This Row],[Price]]</f>
        <v>29</v>
      </c>
      <c r="H12" s="8" t="s">
        <v>68</v>
      </c>
      <c r="I12" s="13" t="s">
        <v>70</v>
      </c>
      <c r="J12" s="10" t="s">
        <v>69</v>
      </c>
    </row>
    <row r="13" spans="1:10" ht="15" x14ac:dyDescent="0.25">
      <c r="A13" s="11">
        <v>12</v>
      </c>
      <c r="B13" s="8" t="s">
        <v>71</v>
      </c>
      <c r="C13" s="8" t="s">
        <v>72</v>
      </c>
      <c r="D13" s="8">
        <v>4</v>
      </c>
      <c r="E13" s="8" t="s">
        <v>76</v>
      </c>
      <c r="F13" s="12">
        <v>22</v>
      </c>
      <c r="G13" s="12">
        <f>Table2[[#This Row],[Quantity]]*Table2[[#This Row],[Price]]</f>
        <v>88</v>
      </c>
      <c r="H13" s="8" t="s">
        <v>73</v>
      </c>
      <c r="I13" s="13" t="s">
        <v>75</v>
      </c>
      <c r="J13" s="10" t="s">
        <v>74</v>
      </c>
    </row>
    <row r="14" spans="1:10" ht="15" x14ac:dyDescent="0.25">
      <c r="A14" s="14">
        <v>13</v>
      </c>
      <c r="B14" s="15" t="s">
        <v>77</v>
      </c>
      <c r="C14" s="15" t="s">
        <v>78</v>
      </c>
      <c r="D14" s="15">
        <v>8</v>
      </c>
      <c r="E14" s="15" t="s">
        <v>17</v>
      </c>
      <c r="F14" s="16">
        <v>17.38</v>
      </c>
      <c r="G14" s="16">
        <f>Table2[[#This Row],[Quantity]]*Table2[[#This Row],[Price]]</f>
        <v>139.04</v>
      </c>
      <c r="H14" s="15" t="s">
        <v>79</v>
      </c>
      <c r="I14" s="17" t="s">
        <v>81</v>
      </c>
      <c r="J14" s="18" t="s">
        <v>80</v>
      </c>
    </row>
    <row r="15" spans="1:10" x14ac:dyDescent="0.25">
      <c r="A15" s="19" t="s">
        <v>82</v>
      </c>
      <c r="B15" s="15"/>
      <c r="C15" s="15"/>
      <c r="D15" s="15"/>
      <c r="E15" s="15"/>
      <c r="F15" s="16"/>
      <c r="G15" s="16">
        <f>SUBTOTAL(109,G2:G14)</f>
        <v>589.69999999999993</v>
      </c>
      <c r="H15" s="15"/>
      <c r="I15" s="15"/>
      <c r="J15" s="18"/>
    </row>
  </sheetData>
  <hyperlinks>
    <hyperlink ref="I2" r:id="rId1" xr:uid="{30E68DFC-1F1F-4891-A51D-CB9F2D171FC5}"/>
    <hyperlink ref="I3" r:id="rId2" xr:uid="{4C087192-EB66-4D6D-85B6-408C4E17B9E6}"/>
    <hyperlink ref="I4" r:id="rId3" xr:uid="{8710F23F-9A78-4635-8968-7264415DEF0F}"/>
    <hyperlink ref="I5" r:id="rId4" xr:uid="{13B796C9-EC98-4622-81D4-62136E79FA12}"/>
    <hyperlink ref="I6" r:id="rId5" xr:uid="{F578767B-A640-4B66-A183-D9C185CAC315}"/>
    <hyperlink ref="I7" r:id="rId6" xr:uid="{7B5E877A-A5DD-4DD7-89C8-E40E2091ABEA}"/>
    <hyperlink ref="I8" r:id="rId7" xr:uid="{E2A50838-8A52-4D87-9193-492795C37CB8}"/>
    <hyperlink ref="I9" r:id="rId8" xr:uid="{9988ED4F-9D25-43E3-A559-4B958D5D92D8}"/>
    <hyperlink ref="I11" r:id="rId9" xr:uid="{C4D72A43-231D-49CB-8EED-895960C7DC20}"/>
    <hyperlink ref="I10" r:id="rId10" xr:uid="{67BFF6AE-77A1-42DA-B966-4EB4AF716D6C}"/>
    <hyperlink ref="I12" r:id="rId11" xr:uid="{FC64A2E7-DAA1-48B9-A21B-7D25902DE7ED}"/>
    <hyperlink ref="I13" r:id="rId12" xr:uid="{852292D1-A76B-46D1-AAB5-2C38F2E594D6}"/>
    <hyperlink ref="I14" r:id="rId13" xr:uid="{B0B75BEA-DF24-496A-A39F-83C7997ABE09}"/>
  </hyperlinks>
  <pageMargins left="0.7" right="0.7" top="0.75" bottom="0.75" header="0.3" footer="0.3"/>
  <pageSetup orientation="portrait" r:id="rId14"/>
  <tableParts count="1"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2016-12-02T03:33:22Z</dcterms:created>
  <dcterms:modified xsi:type="dcterms:W3CDTF">2025-09-29T22:59:31Z</dcterms:modified>
</cp:coreProperties>
</file>