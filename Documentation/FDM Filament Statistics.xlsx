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"/>
    </mc:Choice>
  </mc:AlternateContent>
  <xr:revisionPtr revIDLastSave="0" documentId="13_ncr:1_{EE7A29B7-F4D9-43F7-A677-6BEF55781129}" xr6:coauthVersionLast="47" xr6:coauthVersionMax="47" xr10:uidLastSave="{00000000-0000-0000-0000-000000000000}"/>
  <bookViews>
    <workbookView xWindow="-120" yWindow="-120" windowWidth="29040" windowHeight="17790" xr2:uid="{CC572E90-F13D-4D1A-9D20-ABD32DCFA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3" i="1"/>
  <c r="Q19" i="1" s="1"/>
  <c r="Q4" i="1"/>
  <c r="G3" i="1"/>
  <c r="G4" i="1"/>
  <c r="G5" i="1"/>
  <c r="G6" i="1"/>
  <c r="F7" i="1"/>
  <c r="E7" i="1"/>
  <c r="G7" i="1" l="1"/>
</calcChain>
</file>

<file path=xl/sharedStrings.xml><?xml version="1.0" encoding="utf-8"?>
<sst xmlns="http://schemas.openxmlformats.org/spreadsheetml/2006/main" count="66" uniqueCount="46">
  <si>
    <t>Material</t>
  </si>
  <si>
    <t>Brand</t>
  </si>
  <si>
    <t>Colour</t>
  </si>
  <si>
    <t>PLA Matte</t>
  </si>
  <si>
    <t>PLA basic</t>
  </si>
  <si>
    <t>PLA +</t>
  </si>
  <si>
    <t>Creality</t>
  </si>
  <si>
    <t>Bambu Lab</t>
  </si>
  <si>
    <t>inland</t>
  </si>
  <si>
    <t>White</t>
  </si>
  <si>
    <t>Black</t>
  </si>
  <si>
    <t>Grey</t>
  </si>
  <si>
    <t>Net Weight / g</t>
  </si>
  <si>
    <t>Remaining Amount / g</t>
  </si>
  <si>
    <t>Inventory</t>
  </si>
  <si>
    <t>Total</t>
  </si>
  <si>
    <t>Usage</t>
  </si>
  <si>
    <t>Part Name</t>
  </si>
  <si>
    <t>Count</t>
  </si>
  <si>
    <t>Failed attempts</t>
  </si>
  <si>
    <t>Sum</t>
  </si>
  <si>
    <t>Note</t>
  </si>
  <si>
    <t>X-Y Motor</t>
  </si>
  <si>
    <t>Idler</t>
  </si>
  <si>
    <t>Material / g</t>
  </si>
  <si>
    <t>Y-carrage</t>
  </si>
  <si>
    <t>Corner Bracket</t>
  </si>
  <si>
    <t>Pusher Motor &amp; Idler</t>
  </si>
  <si>
    <t>X_carrage</t>
  </si>
  <si>
    <t>NEMA 17 Motor Mount</t>
  </si>
  <si>
    <t>Spool Holder</t>
  </si>
  <si>
    <t>Z-table</t>
  </si>
  <si>
    <t>Powder box</t>
  </si>
  <si>
    <t>Z-axis top</t>
  </si>
  <si>
    <t>Pusher</t>
  </si>
  <si>
    <t>Z-motor</t>
  </si>
  <si>
    <t>Ownership</t>
  </si>
  <si>
    <t>Lab</t>
  </si>
  <si>
    <t>Lucas</t>
  </si>
  <si>
    <t>Dual_head_mount</t>
  </si>
  <si>
    <t>Alternative Layer Samples</t>
  </si>
  <si>
    <t>robot printhead (new set)</t>
  </si>
  <si>
    <t>Category</t>
  </si>
  <si>
    <t>SLS Printer</t>
  </si>
  <si>
    <t>Mobile Robot Printing</t>
  </si>
  <si>
    <t>Dual Head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</si>
</sst>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5" fillId="3" borderId="0" xfId="2"/>
    <xf numFmtId="0" fontId="3" fillId="3" borderId="0" xfId="2" applyFont="1" applyAlignment="1">
      <alignment horizontal="center"/>
    </xf>
    <xf numFmtId="0" fontId="0" fillId="0" borderId="0" xfId="0" applyNumberFormat="1"/>
    <xf numFmtId="0" fontId="3" fillId="5" borderId="0" xfId="4" applyFont="1" applyAlignment="1">
      <alignment horizontal="center"/>
    </xf>
    <xf numFmtId="0" fontId="4" fillId="4" borderId="0" xfId="3" applyFont="1"/>
    <xf numFmtId="0" fontId="1" fillId="6" borderId="0" xfId="5"/>
    <xf numFmtId="0" fontId="1" fillId="6" borderId="0" xfId="5" applyNumberFormat="1"/>
  </cellXfs>
  <cellStyles count="6">
    <cellStyle name="60% - Accent1" xfId="3" builtinId="32"/>
    <cellStyle name="60% - Accent2" xfId="5" builtinId="36"/>
    <cellStyle name="Accent1" xfId="2" builtinId="29"/>
    <cellStyle name="Accent2" xfId="4" builtinId="33"/>
    <cellStyle name="Bad" xfId="1" builtinId="27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CB4C7B-85FE-446D-8292-F8531482ABD7}" name="Table4" displayName="Table4" ref="B2:H6" totalsRowShown="0" headerRowCellStyle="Accent1">
  <autoFilter ref="B2:H6" xr:uid="{3FCB4C7B-85FE-446D-8292-F8531482ABD7}"/>
  <tableColumns count="7">
    <tableColumn id="1" xr3:uid="{94A3B751-15CC-4CE4-8EC1-3DDAB01C9A36}" name="Material"/>
    <tableColumn id="2" xr3:uid="{EBF18C56-4CEE-4CD9-87BE-6FF9AC4DB715}" name="Brand"/>
    <tableColumn id="3" xr3:uid="{B677CB04-BEA4-40ED-A5D0-558CA5D5F12F}" name="Colour"/>
    <tableColumn id="4" xr3:uid="{6FDDDF67-6AF6-43AF-98EC-D68D9828A576}" name="Net Weight / g"/>
    <tableColumn id="5" xr3:uid="{A91A6357-10CF-454E-AAD9-60899F4B0F87}" name="Remaining Amount / g"/>
    <tableColumn id="6" xr3:uid="{CCD66A1A-C386-4254-A255-A6A2C89B4D15}" name="Usage" dataDxfId="2">
      <calculatedColumnFormula>Table4[[#This Row],[Net Weight / g]]-Table4[[#This Row],[Remaining Amount / g]]</calculatedColumnFormula>
    </tableColumn>
    <tableColumn id="9" xr3:uid="{6D47D2FF-B4C5-465B-8C83-6FE08555F3A3}" name="Ownership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A6C243-91BC-4B66-9F19-5C7FD5CB8BC7}" name="Table5" displayName="Table5" ref="L2:R19" totalsRowCount="1" totalsRowCellStyle="60% - Accent2">
  <autoFilter ref="L2:R18" xr:uid="{35A6C243-91BC-4B66-9F19-5C7FD5CB8BC7}"/>
  <tableColumns count="7">
    <tableColumn id="1" xr3:uid="{117F0C4D-821C-48D9-B42E-5B1A5348646A}" name="Part Name" totalsRowLabel="Total" totalsRowCellStyle="60% - Accent2"/>
    <tableColumn id="7" xr3:uid="{58155E85-DD8E-493F-8C74-3D04F8ABE2F6}" name="Category" totalsRowCellStyle="60% - Accent2"/>
    <tableColumn id="2" xr3:uid="{129EE999-C5FB-4384-B86C-9049AFFB0593}" name="Material / g" totalsRowCellStyle="60% - Accent2"/>
    <tableColumn id="3" xr3:uid="{EFEFE05B-B08A-4CF3-A928-B51055324845}" name="Count" totalsRowCellStyle="60% - Accent2"/>
    <tableColumn id="4" xr3:uid="{453BE44F-1FFE-4CB3-A5B4-628F876B9818}" name="Failed attempts" totalsRowCellStyle="60% - Accent2"/>
    <tableColumn id="5" xr3:uid="{0139560A-6382-4E08-86F5-5A0672C02251}" name="Sum" totalsRowFunction="custom" dataDxfId="1" totalsRowDxfId="0" totalsRowCellStyle="60% - Accent2">
      <calculatedColumnFormula>Table5[[#This Row],[Material / g]]*(Table5[[#This Row],[Count]]+Table5[[#This Row],[Failed attempts]])</calculatedColumnFormula>
      <totalsRowFormula>SUM(Q3:Q18)</totalsRowFormula>
    </tableColumn>
    <tableColumn id="6" xr3:uid="{99FE99B9-D251-4780-ACFF-4FB29B231A3F}" name="Note" totalsRowCellStyle="60% - Accent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3F10-C9A6-48DB-9902-F9846EB7E6F8}">
  <dimension ref="B1:R19"/>
  <sheetViews>
    <sheetView tabSelected="1" workbookViewId="0">
      <selection activeCell="N22" sqref="N22"/>
    </sheetView>
  </sheetViews>
  <sheetFormatPr defaultRowHeight="15" x14ac:dyDescent="0.25"/>
  <cols>
    <col min="2" max="2" width="10.42578125" customWidth="1"/>
    <col min="3" max="3" width="10.7109375" customWidth="1"/>
    <col min="4" max="4" width="9.28515625" customWidth="1"/>
    <col min="5" max="5" width="17.28515625" customWidth="1"/>
    <col min="6" max="6" width="22.7109375" customWidth="1"/>
    <col min="7" max="7" width="12.85546875" customWidth="1"/>
    <col min="8" max="8" width="11.140625" customWidth="1"/>
    <col min="11" max="11" width="15" customWidth="1"/>
    <col min="12" max="13" width="23.5703125" customWidth="1"/>
    <col min="14" max="14" width="17.85546875" customWidth="1"/>
    <col min="15" max="15" width="15.85546875" customWidth="1"/>
    <col min="16" max="16" width="16.7109375" customWidth="1"/>
    <col min="17" max="17" width="13" customWidth="1"/>
  </cols>
  <sheetData>
    <row r="1" spans="2:18" x14ac:dyDescent="0.25">
      <c r="B1" s="3" t="s">
        <v>14</v>
      </c>
      <c r="C1" s="3"/>
      <c r="D1" s="3"/>
      <c r="E1" s="3"/>
      <c r="F1" s="3"/>
      <c r="G1" s="3"/>
      <c r="H1" s="3"/>
      <c r="L1" s="5" t="s">
        <v>16</v>
      </c>
      <c r="M1" s="5"/>
      <c r="N1" s="5"/>
      <c r="O1" s="5"/>
      <c r="P1" s="5"/>
      <c r="Q1" s="5"/>
      <c r="R1" s="5"/>
    </row>
    <row r="2" spans="2:18" x14ac:dyDescent="0.25">
      <c r="B2" s="2" t="s">
        <v>0</v>
      </c>
      <c r="C2" s="2" t="s">
        <v>1</v>
      </c>
      <c r="D2" s="2" t="s">
        <v>2</v>
      </c>
      <c r="E2" s="2" t="s">
        <v>12</v>
      </c>
      <c r="F2" s="2" t="s">
        <v>13</v>
      </c>
      <c r="G2" s="2" t="s">
        <v>16</v>
      </c>
      <c r="H2" s="2" t="s">
        <v>36</v>
      </c>
      <c r="L2" t="s">
        <v>17</v>
      </c>
      <c r="M2" t="s">
        <v>42</v>
      </c>
      <c r="N2" t="s">
        <v>24</v>
      </c>
      <c r="O2" t="s">
        <v>18</v>
      </c>
      <c r="P2" t="s">
        <v>19</v>
      </c>
      <c r="Q2" t="s">
        <v>20</v>
      </c>
      <c r="R2" t="s">
        <v>21</v>
      </c>
    </row>
    <row r="3" spans="2:18" x14ac:dyDescent="0.25">
      <c r="B3" t="s">
        <v>3</v>
      </c>
      <c r="C3" t="s">
        <v>6</v>
      </c>
      <c r="D3" t="s">
        <v>9</v>
      </c>
      <c r="E3">
        <v>1000</v>
      </c>
      <c r="F3" s="1">
        <v>50</v>
      </c>
      <c r="G3">
        <f>Table4[[#This Row],[Net Weight / g]]-Table4[[#This Row],[Remaining Amount / g]]</f>
        <v>950</v>
      </c>
      <c r="H3" t="s">
        <v>37</v>
      </c>
      <c r="L3" t="s">
        <v>22</v>
      </c>
      <c r="M3" t="s">
        <v>43</v>
      </c>
      <c r="N3">
        <v>78</v>
      </c>
      <c r="O3">
        <v>4</v>
      </c>
      <c r="P3">
        <v>0.7</v>
      </c>
      <c r="Q3">
        <f>Table5[[#This Row],[Material / g]]*(Table5[[#This Row],[Count]]+Table5[[#This Row],[Failed attempts]])</f>
        <v>366.6</v>
      </c>
    </row>
    <row r="4" spans="2:18" x14ac:dyDescent="0.25">
      <c r="B4" t="s">
        <v>3</v>
      </c>
      <c r="C4" t="s">
        <v>6</v>
      </c>
      <c r="D4" t="s">
        <v>10</v>
      </c>
      <c r="E4">
        <v>1000</v>
      </c>
      <c r="F4">
        <v>560</v>
      </c>
      <c r="G4">
        <f>Table4[[#This Row],[Net Weight / g]]-Table4[[#This Row],[Remaining Amount / g]]</f>
        <v>440</v>
      </c>
      <c r="H4" t="s">
        <v>37</v>
      </c>
      <c r="L4" t="s">
        <v>23</v>
      </c>
      <c r="M4" t="s">
        <v>43</v>
      </c>
      <c r="N4">
        <v>66</v>
      </c>
      <c r="O4">
        <v>4</v>
      </c>
      <c r="P4">
        <v>0.5</v>
      </c>
      <c r="Q4">
        <f>Table5[[#This Row],[Material / g]]*(Table5[[#This Row],[Count]]+Table5[[#This Row],[Failed attempts]])</f>
        <v>297</v>
      </c>
    </row>
    <row r="5" spans="2:18" x14ac:dyDescent="0.25">
      <c r="B5" t="s">
        <v>4</v>
      </c>
      <c r="C5" t="s">
        <v>7</v>
      </c>
      <c r="D5" t="s">
        <v>11</v>
      </c>
      <c r="E5">
        <v>1000</v>
      </c>
      <c r="F5" s="1">
        <v>143</v>
      </c>
      <c r="G5">
        <f>Table4[[#This Row],[Net Weight / g]]-Table4[[#This Row],[Remaining Amount / g]]</f>
        <v>857</v>
      </c>
      <c r="H5" t="s">
        <v>38</v>
      </c>
      <c r="L5" t="s">
        <v>25</v>
      </c>
      <c r="M5" t="s">
        <v>43</v>
      </c>
      <c r="N5">
        <v>86</v>
      </c>
      <c r="O5">
        <v>4</v>
      </c>
      <c r="P5">
        <v>0</v>
      </c>
      <c r="Q5" s="4">
        <f>Table5[[#This Row],[Material / g]]*(Table5[[#This Row],[Count]]+Table5[[#This Row],[Failed attempts]])</f>
        <v>344</v>
      </c>
    </row>
    <row r="6" spans="2:18" x14ac:dyDescent="0.25">
      <c r="B6" t="s">
        <v>5</v>
      </c>
      <c r="C6" t="s">
        <v>8</v>
      </c>
      <c r="D6" t="s">
        <v>10</v>
      </c>
      <c r="E6">
        <v>1000</v>
      </c>
      <c r="F6">
        <v>216</v>
      </c>
      <c r="G6">
        <f>Table4[[#This Row],[Net Weight / g]]-Table4[[#This Row],[Remaining Amount / g]]</f>
        <v>784</v>
      </c>
      <c r="H6" t="s">
        <v>38</v>
      </c>
      <c r="L6" t="s">
        <v>26</v>
      </c>
      <c r="M6" t="s">
        <v>43</v>
      </c>
      <c r="N6">
        <v>12</v>
      </c>
      <c r="O6">
        <v>18</v>
      </c>
      <c r="P6">
        <v>0</v>
      </c>
      <c r="Q6" s="4">
        <f>Table5[[#This Row],[Material / g]]*(Table5[[#This Row],[Count]]+Table5[[#This Row],[Failed attempts]])</f>
        <v>216</v>
      </c>
    </row>
    <row r="7" spans="2:18" x14ac:dyDescent="0.25">
      <c r="B7" s="6" t="s">
        <v>15</v>
      </c>
      <c r="C7" s="6"/>
      <c r="D7" s="6"/>
      <c r="E7" s="6">
        <f>SUM(E3:E6)</f>
        <v>4000</v>
      </c>
      <c r="F7" s="6">
        <f>SUM(F3:F6)</f>
        <v>969</v>
      </c>
      <c r="G7" s="6">
        <f>SUM(G3:G6)</f>
        <v>3031</v>
      </c>
      <c r="H7" s="6"/>
      <c r="L7" t="s">
        <v>27</v>
      </c>
      <c r="M7" t="s">
        <v>43</v>
      </c>
      <c r="N7">
        <v>63</v>
      </c>
      <c r="O7">
        <v>2</v>
      </c>
      <c r="P7">
        <v>0</v>
      </c>
      <c r="Q7" s="4">
        <f>Table5[[#This Row],[Material / g]]*(Table5[[#This Row],[Count]]+Table5[[#This Row],[Failed attempts]])</f>
        <v>126</v>
      </c>
    </row>
    <row r="8" spans="2:18" x14ac:dyDescent="0.25">
      <c r="L8" t="s">
        <v>28</v>
      </c>
      <c r="M8" t="s">
        <v>43</v>
      </c>
      <c r="N8">
        <v>62</v>
      </c>
      <c r="O8">
        <v>2</v>
      </c>
      <c r="P8">
        <v>0</v>
      </c>
      <c r="Q8" s="4">
        <f>Table5[[#This Row],[Material / g]]*(Table5[[#This Row],[Count]]+Table5[[#This Row],[Failed attempts]])</f>
        <v>124</v>
      </c>
    </row>
    <row r="9" spans="2:18" x14ac:dyDescent="0.25">
      <c r="L9" t="s">
        <v>29</v>
      </c>
      <c r="M9" t="s">
        <v>44</v>
      </c>
      <c r="N9">
        <v>70</v>
      </c>
      <c r="O9">
        <v>2</v>
      </c>
      <c r="P9">
        <v>0</v>
      </c>
      <c r="Q9" s="4">
        <f>Table5[[#This Row],[Material / g]]*(Table5[[#This Row],[Count]]+Table5[[#This Row],[Failed attempts]])</f>
        <v>140</v>
      </c>
    </row>
    <row r="10" spans="2:18" x14ac:dyDescent="0.25">
      <c r="L10" t="s">
        <v>30</v>
      </c>
      <c r="M10" t="s">
        <v>44</v>
      </c>
      <c r="N10">
        <v>42</v>
      </c>
      <c r="O10">
        <v>2</v>
      </c>
      <c r="P10">
        <v>0</v>
      </c>
      <c r="Q10" s="4">
        <f>Table5[[#This Row],[Material / g]]*(Table5[[#This Row],[Count]]+Table5[[#This Row],[Failed attempts]])</f>
        <v>84</v>
      </c>
    </row>
    <row r="11" spans="2:18" x14ac:dyDescent="0.25">
      <c r="L11" t="s">
        <v>31</v>
      </c>
      <c r="M11" t="s">
        <v>43</v>
      </c>
      <c r="N11">
        <v>140</v>
      </c>
      <c r="O11">
        <v>2</v>
      </c>
      <c r="P11">
        <v>0</v>
      </c>
      <c r="Q11" s="4">
        <f>Table5[[#This Row],[Material / g]]*(Table5[[#This Row],[Count]]+Table5[[#This Row],[Failed attempts]])</f>
        <v>280</v>
      </c>
    </row>
    <row r="12" spans="2:18" x14ac:dyDescent="0.25">
      <c r="L12" t="s">
        <v>32</v>
      </c>
      <c r="M12" t="s">
        <v>43</v>
      </c>
      <c r="N12">
        <v>126</v>
      </c>
      <c r="O12">
        <v>1</v>
      </c>
      <c r="P12">
        <v>0</v>
      </c>
      <c r="Q12" s="4">
        <f>Table5[[#This Row],[Material / g]]*(Table5[[#This Row],[Count]]+Table5[[#This Row],[Failed attempts]])</f>
        <v>126</v>
      </c>
    </row>
    <row r="13" spans="2:18" x14ac:dyDescent="0.25">
      <c r="L13" t="s">
        <v>33</v>
      </c>
      <c r="M13" t="s">
        <v>43</v>
      </c>
      <c r="N13">
        <v>47</v>
      </c>
      <c r="O13">
        <v>2</v>
      </c>
      <c r="P13">
        <v>0</v>
      </c>
      <c r="Q13" s="4">
        <f>Table5[[#This Row],[Material / g]]*(Table5[[#This Row],[Count]]+Table5[[#This Row],[Failed attempts]])</f>
        <v>94</v>
      </c>
    </row>
    <row r="14" spans="2:18" x14ac:dyDescent="0.25">
      <c r="L14" t="s">
        <v>34</v>
      </c>
      <c r="M14" t="s">
        <v>43</v>
      </c>
      <c r="N14">
        <v>58</v>
      </c>
      <c r="O14">
        <v>2</v>
      </c>
      <c r="P14">
        <v>0</v>
      </c>
      <c r="Q14" s="4">
        <f>Table5[[#This Row],[Material / g]]*(Table5[[#This Row],[Count]]+Table5[[#This Row],[Failed attempts]])</f>
        <v>116</v>
      </c>
    </row>
    <row r="15" spans="2:18" x14ac:dyDescent="0.25">
      <c r="L15" t="s">
        <v>35</v>
      </c>
      <c r="M15" t="s">
        <v>43</v>
      </c>
      <c r="N15">
        <v>86</v>
      </c>
      <c r="O15">
        <v>2</v>
      </c>
      <c r="P15">
        <v>0</v>
      </c>
      <c r="Q15" s="4">
        <f>Table5[[#This Row],[Material / g]]*(Table5[[#This Row],[Count]]+Table5[[#This Row],[Failed attempts]])</f>
        <v>172</v>
      </c>
    </row>
    <row r="16" spans="2:18" x14ac:dyDescent="0.25">
      <c r="L16" t="s">
        <v>39</v>
      </c>
      <c r="M16" t="s">
        <v>45</v>
      </c>
      <c r="N16">
        <v>42</v>
      </c>
      <c r="O16">
        <v>5</v>
      </c>
      <c r="P16">
        <v>1</v>
      </c>
      <c r="Q16" s="4">
        <f>Table5[[#This Row],[Material / g]]*(Table5[[#This Row],[Count]]+Table5[[#This Row],[Failed attempts]])</f>
        <v>252</v>
      </c>
    </row>
    <row r="17" spans="12:18" x14ac:dyDescent="0.25">
      <c r="L17" t="s">
        <v>40</v>
      </c>
      <c r="M17" t="s">
        <v>45</v>
      </c>
      <c r="N17">
        <v>1.25</v>
      </c>
      <c r="O17">
        <v>76</v>
      </c>
      <c r="P17">
        <v>19</v>
      </c>
      <c r="Q17" s="4">
        <f>Table5[[#This Row],[Material / g]]*(Table5[[#This Row],[Count]]+Table5[[#This Row],[Failed attempts]])</f>
        <v>118.75</v>
      </c>
    </row>
    <row r="18" spans="12:18" x14ac:dyDescent="0.25">
      <c r="L18" t="s">
        <v>41</v>
      </c>
      <c r="M18" t="s">
        <v>44</v>
      </c>
      <c r="N18">
        <v>64</v>
      </c>
      <c r="O18">
        <v>2</v>
      </c>
      <c r="P18">
        <v>0</v>
      </c>
      <c r="Q18" s="4">
        <f>Table5[[#This Row],[Material / g]]*(Table5[[#This Row],[Count]]+Table5[[#This Row],[Failed attempts]])</f>
        <v>128</v>
      </c>
    </row>
    <row r="19" spans="12:18" x14ac:dyDescent="0.25">
      <c r="L19" s="7" t="s">
        <v>15</v>
      </c>
      <c r="M19" s="7"/>
      <c r="N19" s="7"/>
      <c r="O19" s="7"/>
      <c r="P19" s="7"/>
      <c r="Q19" s="8">
        <f>SUM(Q3:Q18)</f>
        <v>2984.35</v>
      </c>
      <c r="R19" s="7"/>
    </row>
  </sheetData>
  <mergeCells count="2">
    <mergeCell ref="B1:H1"/>
    <mergeCell ref="L1:R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2025-08-16T17:48:17Z</dcterms:created>
  <dcterms:modified xsi:type="dcterms:W3CDTF">2025-08-16T19:42:27Z</dcterms:modified>
</cp:coreProperties>
</file>