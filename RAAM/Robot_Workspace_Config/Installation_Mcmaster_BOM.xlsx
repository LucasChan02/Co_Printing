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<sst xmlns="http://schemas.openxmlformats.org/spreadsheetml/2006/main" count="76" uniqueCount="69">
  <si>
    <t xml:space="preserve">Item</t>
  </si>
  <si>
    <t xml:space="preserve">Part Number</t>
  </si>
  <si>
    <t xml:space="preserve">Description</t>
  </si>
  <si>
    <t xml:space="preserve">Quantity</t>
  </si>
  <si>
    <t xml:space="preserve">Unit</t>
  </si>
  <si>
    <t xml:space="preserve">Price</t>
  </si>
  <si>
    <t xml:space="preserve">Cost</t>
  </si>
  <si>
    <t xml:space="preserve">Key Specs</t>
  </si>
  <si>
    <t xml:space="preserve">Link</t>
  </si>
  <si>
    <t xml:space="preserve">Note</t>
  </si>
  <si>
    <t xml:space="preserve">91595A452</t>
  </si>
  <si>
    <t xml:space="preserve">Dowel Pin, Plain, Alloy Steel, Metric</t>
  </si>
  <si>
    <t xml:space="preserve">Pack of 25</t>
  </si>
  <si>
    <t xml:space="preserve">Dia: 6 mm, Length: 20 mm, Material: 52100 Alloy Steel, Standards: DIN 6325-m6, ISO 8734</t>
  </si>
  <si>
    <t xml:space="preserve">https://www.mcmaster.com/91595A452/</t>
  </si>
  <si>
    <t xml:space="preserve">91455A120</t>
  </si>
  <si>
    <t xml:space="preserve">Flat Washer, General Purpose, M6</t>
  </si>
  <si>
    <t xml:space="preserve">Pack of 100</t>
  </si>
  <si>
    <t xml:space="preserve">Material: Zinc-Plated Steel; ID: 6.4 mm; OD: 12.0 mm; Spec: DIN 125, ISO 7089; Class: 8.8</t>
  </si>
  <si>
    <t xml:space="preserve">https://www.mcmaster.com/91455A120/</t>
  </si>
  <si>
    <t xml:space="preserve">Medium Strength Rating, Common for moisture exposure</t>
  </si>
  <si>
    <t xml:space="preserve">91290A330</t>
  </si>
  <si>
    <t xml:space="preserve">Socket Head Screw, Black-Oxide, M6×25 mm</t>
  </si>
  <si>
    <t xml:space="preserve">Pack of 50</t>
  </si>
  <si>
    <t xml:space="preserve">Material: Alloy Steel (Cl 12.9); TS: 170,000 psi; Threading: Fully; Spec: DIN 912, ISO 4762; COO: USA</t>
  </si>
  <si>
    <t xml:space="preserve">https://www.mcmaster.com/91290A330/</t>
  </si>
  <si>
    <t xml:space="preserve">Highest strength class, mild corrosion resistance (dry)</t>
  </si>
  <si>
    <t xml:space="preserve">90576A115</t>
  </si>
  <si>
    <t xml:space="preserve">Nylon-Insert Locknut, M6</t>
  </si>
  <si>
    <t xml:space="preserve">Material: Zinc-Plated Steel (Cl 8); Thread: M6×1 mm; H: 6 mm; Spec: DIN 985, ISO 10511</t>
  </si>
  <si>
    <t xml:space="preserve">https://www.mcmaster.com/90576A115/</t>
  </si>
  <si>
    <t xml:space="preserve">Vibration resistant, reusable, Max Temp 220 F</t>
  </si>
  <si>
    <t xml:space="preserve">94645A229</t>
  </si>
  <si>
    <t xml:space="preserve">High-Strength Nylon-Insert Locknut, M12</t>
  </si>
  <si>
    <t xml:space="preserve">Pack of 10</t>
  </si>
  <si>
    <t xml:space="preserve">Material: Zinc-Plated Steel (Cl 10); Thread: M12×1.5 mm (Fine); H: 12 mm; Spec: DIN 985, ISO 10511</t>
  </si>
  <si>
    <t xml:space="preserve">https://www.mcmaster.com/94645A229/</t>
  </si>
  <si>
    <t xml:space="preserve">High Strength, Vibration Resistant, Max Temp 220 F</t>
  </si>
  <si>
    <t xml:space="preserve">98688A177</t>
  </si>
  <si>
    <t xml:space="preserve">Undersized Flat Washer, General Purpose</t>
  </si>
  <si>
    <t xml:space="preserve">For Screw: M12; ID: 13.0 mm; OD: 20.0 mm; Material: Zinc-Plated Steel; Spec: DIN 433; Class: 8.8</t>
  </si>
  <si>
    <t xml:space="preserve">https://www.mcmaster.com/98688A177/</t>
  </si>
  <si>
    <t xml:space="preserve">For narrow-head screws, Medium Strength</t>
  </si>
  <si>
    <t xml:space="preserve">91052A115</t>
  </si>
  <si>
    <t xml:space="preserve">Hex Head Screw, Zinc Yellow-Chromate, M12×50 mm</t>
  </si>
  <si>
    <t xml:space="preserve">Pack of 5</t>
  </si>
  <si>
    <t xml:space="preserve">Material: Steel (Cl 10.9); Thread: M12×1.5 mm (Fine); TS: 150,000 psi; Spec: DIN 960</t>
  </si>
  <si>
    <t xml:space="preserve">https://www.mcmaster.com/91052A115/</t>
  </si>
  <si>
    <t xml:space="preserve">High-stress applications, partially threaded, good corrosion resistance</t>
  </si>
  <si>
    <t xml:space="preserve">8947A142</t>
  </si>
  <si>
    <t xml:space="preserve">High-Speed Steel Drill Bit, Short-Length, Uncoated, 1/2"</t>
  </si>
  <si>
    <t xml:space="preserve">Pack of 1</t>
  </si>
  <si>
    <t xml:space="preserve">Material: High-Speed Steel; Max. Drilling Length: 1.5"; Point Angle: 118°</t>
  </si>
  <si>
    <t xml:space="preserve">https://www.mcmaster.com/8947A142/</t>
  </si>
  <si>
    <t xml:space="preserve">For use on: Aluminum, Brass, Bronze, Iron, Plastic, Steel</t>
  </si>
  <si>
    <t xml:space="preserve">8947A122</t>
  </si>
  <si>
    <t xml:space="preserve">High-Speed Steel Drill Bit, Short-Length, Uncoated, 7/32"</t>
  </si>
  <si>
    <t xml:space="preserve">Material: High-Speed Steel; Max. Drilling Length: 0.92"; Point Angle: 118°</t>
  </si>
  <si>
    <t xml:space="preserve">https://www.mcmaster.com/8947A122/</t>
  </si>
  <si>
    <t xml:space="preserve">8947A124</t>
  </si>
  <si>
    <t xml:space="preserve">High-Speed Steel Drill Bit, Short-Length, Uncoated, 1/4"</t>
  </si>
  <si>
    <t xml:space="preserve">Material: High-Speed Steel; Max. Drilling Length: 1"; Point Angle: 118°</t>
  </si>
  <si>
    <t xml:space="preserve">https://www.mcmaster.com/8947A124/</t>
  </si>
  <si>
    <t xml:space="preserve">94475A214 </t>
  </si>
  <si>
    <t xml:space="preserve">Vibration-Resistant Wedge Anchor for Concrete 3/8" Diameter, 2" Long</t>
  </si>
  <si>
    <t xml:space="preserve">Pack of 4</t>
  </si>
  <si>
    <t xml:space="preserve">https://www.mcmaster.com/94475A214/</t>
  </si>
  <si>
    <t xml:space="preserve">Finish Zinc Plated For Use In Concrete</t>
  </si>
  <si>
    <t xml:space="preserve">Sum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</si>
</sst>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"/>
    <numFmt numFmtId="166" formatCode="\$#,##0.00_);[RED]&quot;($&quot;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u val="single"/>
      <sz val="10"/>
      <color theme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J13" headerRowCount="1" totalsRowCount="1" totalsRowShown="1">
  <autoFilter ref="A1:J13"/>
  <tableColumns count="10">
    <tableColumn id="1" name="Item"/>
    <tableColumn id="2" name="Part Number"/>
    <tableColumn id="3" name="Description"/>
    <tableColumn id="4" name="Quantity"/>
    <tableColumn id="5" name="Unit"/>
    <tableColumn id="6" name="Price"/>
    <tableColumn id="7" name="Cost" totalsRowFunction="custom"/>
    <tableColumn id="8" name="Key Specs"/>
    <tableColumn id="9" name="Link"/>
    <tableColumn id="10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cmaster.com/91595A452/" TargetMode="External"/><Relationship Id="rId2" Type="http://schemas.openxmlformats.org/officeDocument/2006/relationships/hyperlink" Target="https://www.mcmaster.com/91455A120/" TargetMode="External"/><Relationship Id="rId3" Type="http://schemas.openxmlformats.org/officeDocument/2006/relationships/hyperlink" Target="https://www.mcmaster.com/91290A330/" TargetMode="External"/><Relationship Id="rId4" Type="http://schemas.openxmlformats.org/officeDocument/2006/relationships/hyperlink" Target="https://www.mcmaster.com/90576A115/" TargetMode="External"/><Relationship Id="rId5" Type="http://schemas.openxmlformats.org/officeDocument/2006/relationships/hyperlink" Target="https://www.mcmaster.com/94645A229/" TargetMode="External"/><Relationship Id="rId6" Type="http://schemas.openxmlformats.org/officeDocument/2006/relationships/hyperlink" Target="https://www.mcmaster.com/98688A177/" TargetMode="External"/><Relationship Id="rId7" Type="http://schemas.openxmlformats.org/officeDocument/2006/relationships/hyperlink" Target="https://www.mcmaster.com/91052A115/" TargetMode="External"/><Relationship Id="rId8" Type="http://schemas.openxmlformats.org/officeDocument/2006/relationships/hyperlink" Target="https://www.mcmaster.com/8947A142/" TargetMode="External"/><Relationship Id="rId9" Type="http://schemas.openxmlformats.org/officeDocument/2006/relationships/hyperlink" Target="https://www.mcmaster.com/8947A122/" TargetMode="External"/><Relationship Id="rId10" Type="http://schemas.openxmlformats.org/officeDocument/2006/relationships/hyperlink" Target="https://www.mcmaster.com/8947A124/" TargetMode="External"/><Relationship Id="rId11" Type="http://schemas.openxmlformats.org/officeDocument/2006/relationships/hyperlink" Target="https://www.mcmaster.com/94475A214/" TargetMode="External"/><Relationship Id="rId1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3.57"/>
    <col collapsed="false" customWidth="true" hidden="false" outlineLevel="0" max="3" min="3" style="1" width="54.96"/>
    <col collapsed="false" customWidth="true" hidden="false" outlineLevel="0" max="4" min="4" style="1" width="9.57"/>
    <col collapsed="false" customWidth="true" hidden="false" outlineLevel="0" max="5" min="5" style="1" width="11.57"/>
    <col collapsed="false" customWidth="true" hidden="false" outlineLevel="0" max="6" min="6" style="1" width="12.15"/>
    <col collapsed="false" customWidth="true" hidden="false" outlineLevel="0" max="7" min="7" style="1" width="13.57"/>
    <col collapsed="false" customWidth="true" hidden="false" outlineLevel="0" max="8" min="8" style="1" width="80.86"/>
    <col collapsed="false" customWidth="true" hidden="false" outlineLevel="0" max="9" min="9" style="1" width="49.85"/>
    <col collapsed="false" customWidth="true" hidden="false" outlineLevel="0" max="10" min="10" style="1" width="63.85"/>
    <col collapsed="false" customWidth="false" hidden="false" outlineLevel="0" max="16384" min="11" style="1" width="9.14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customFormat="false" ht="12.75" hidden="false" customHeight="false" outlineLevel="0" collapsed="false">
      <c r="A2" s="5" t="n">
        <v>1</v>
      </c>
      <c r="B2" s="6" t="s">
        <v>10</v>
      </c>
      <c r="C2" s="6" t="s">
        <v>11</v>
      </c>
      <c r="D2" s="6" t="n">
        <v>1</v>
      </c>
      <c r="E2" s="6" t="s">
        <v>12</v>
      </c>
      <c r="F2" s="7" t="n">
        <v>11.62</v>
      </c>
      <c r="G2" s="7" t="n">
        <f aca="false">Table2[[#This Row],[Quantity]]*Table2[[#This Row],[Price]]</f>
        <v>11.62</v>
      </c>
      <c r="H2" s="8" t="s">
        <v>13</v>
      </c>
      <c r="I2" s="9" t="s">
        <v>14</v>
      </c>
      <c r="J2" s="10"/>
    </row>
    <row r="3" customFormat="false" ht="14.15" hidden="false" customHeight="false" outlineLevel="0" collapsed="false">
      <c r="A3" s="11" t="n">
        <v>2</v>
      </c>
      <c r="B3" s="8" t="s">
        <v>15</v>
      </c>
      <c r="C3" s="8" t="s">
        <v>16</v>
      </c>
      <c r="D3" s="8" t="n">
        <v>1</v>
      </c>
      <c r="E3" s="8" t="s">
        <v>17</v>
      </c>
      <c r="F3" s="12" t="n">
        <v>5.65</v>
      </c>
      <c r="G3" s="12" t="n">
        <f aca="false">Table2[[#This Row],[Quantity]]*Table2[[#This Row],[Price]]</f>
        <v>5.65</v>
      </c>
      <c r="H3" s="8" t="s">
        <v>18</v>
      </c>
      <c r="I3" s="13" t="s">
        <v>19</v>
      </c>
      <c r="J3" s="10" t="s">
        <v>20</v>
      </c>
    </row>
    <row r="4" customFormat="false" ht="14.15" hidden="false" customHeight="false" outlineLevel="0" collapsed="false">
      <c r="A4" s="5" t="n">
        <v>3</v>
      </c>
      <c r="B4" s="8" t="s">
        <v>21</v>
      </c>
      <c r="C4" s="8" t="s">
        <v>22</v>
      </c>
      <c r="D4" s="8" t="n">
        <v>1</v>
      </c>
      <c r="E4" s="8" t="s">
        <v>23</v>
      </c>
      <c r="F4" s="12" t="n">
        <v>10.58</v>
      </c>
      <c r="G4" s="12" t="n">
        <f aca="false">Table2[[#This Row],[Quantity]]*Table2[[#This Row],[Price]]</f>
        <v>10.58</v>
      </c>
      <c r="H4" s="8" t="s">
        <v>24</v>
      </c>
      <c r="I4" s="13" t="s">
        <v>25</v>
      </c>
      <c r="J4" s="10" t="s">
        <v>26</v>
      </c>
    </row>
    <row r="5" customFormat="false" ht="14.15" hidden="false" customHeight="false" outlineLevel="0" collapsed="false">
      <c r="A5" s="5" t="n">
        <v>4</v>
      </c>
      <c r="B5" s="8" t="s">
        <v>27</v>
      </c>
      <c r="C5" s="8" t="s">
        <v>28</v>
      </c>
      <c r="D5" s="8" t="n">
        <v>1</v>
      </c>
      <c r="E5" s="8" t="s">
        <v>17</v>
      </c>
      <c r="F5" s="12" t="n">
        <v>4.77</v>
      </c>
      <c r="G5" s="12" t="n">
        <f aca="false">Table2[[#This Row],[Quantity]]*Table2[[#This Row],[Price]]</f>
        <v>4.77</v>
      </c>
      <c r="H5" s="8" t="s">
        <v>29</v>
      </c>
      <c r="I5" s="13" t="s">
        <v>30</v>
      </c>
      <c r="J5" s="10" t="s">
        <v>31</v>
      </c>
    </row>
    <row r="6" customFormat="false" ht="14.15" hidden="false" customHeight="false" outlineLevel="0" collapsed="false">
      <c r="A6" s="11" t="n">
        <v>5</v>
      </c>
      <c r="B6" s="8" t="s">
        <v>32</v>
      </c>
      <c r="C6" s="8" t="s">
        <v>33</v>
      </c>
      <c r="D6" s="8" t="n">
        <v>1</v>
      </c>
      <c r="E6" s="8" t="s">
        <v>34</v>
      </c>
      <c r="F6" s="12" t="n">
        <v>10.29</v>
      </c>
      <c r="G6" s="12" t="n">
        <f aca="false">Table2[[#This Row],[Quantity]]*Table2[[#This Row],[Price]]</f>
        <v>10.29</v>
      </c>
      <c r="H6" s="8" t="s">
        <v>35</v>
      </c>
      <c r="I6" s="13" t="s">
        <v>36</v>
      </c>
      <c r="J6" s="10" t="s">
        <v>37</v>
      </c>
    </row>
    <row r="7" customFormat="false" ht="14.15" hidden="false" customHeight="false" outlineLevel="0" collapsed="false">
      <c r="A7" s="5" t="n">
        <v>6</v>
      </c>
      <c r="B7" s="8" t="s">
        <v>38</v>
      </c>
      <c r="C7" s="8" t="s">
        <v>39</v>
      </c>
      <c r="D7" s="8" t="n">
        <v>1</v>
      </c>
      <c r="E7" s="8" t="s">
        <v>12</v>
      </c>
      <c r="F7" s="12" t="n">
        <v>11.13</v>
      </c>
      <c r="G7" s="12" t="n">
        <f aca="false">Table2[[#This Row],[Quantity]]*Table2[[#This Row],[Price]]</f>
        <v>11.13</v>
      </c>
      <c r="H7" s="8" t="s">
        <v>40</v>
      </c>
      <c r="I7" s="13" t="s">
        <v>41</v>
      </c>
      <c r="J7" s="10" t="s">
        <v>42</v>
      </c>
    </row>
    <row r="8" customFormat="false" ht="14.15" hidden="false" customHeight="false" outlineLevel="0" collapsed="false">
      <c r="A8" s="5" t="n">
        <v>7</v>
      </c>
      <c r="B8" s="8" t="s">
        <v>43</v>
      </c>
      <c r="C8" s="8" t="s">
        <v>44</v>
      </c>
      <c r="D8" s="8" t="n">
        <v>2</v>
      </c>
      <c r="E8" s="8" t="s">
        <v>45</v>
      </c>
      <c r="F8" s="12" t="n">
        <v>13.21</v>
      </c>
      <c r="G8" s="12" t="n">
        <f aca="false">Table2[[#This Row],[Quantity]]*Table2[[#This Row],[Price]]</f>
        <v>26.42</v>
      </c>
      <c r="H8" s="8" t="s">
        <v>46</v>
      </c>
      <c r="I8" s="13" t="s">
        <v>47</v>
      </c>
      <c r="J8" s="10" t="s">
        <v>48</v>
      </c>
    </row>
    <row r="9" customFormat="false" ht="14.15" hidden="false" customHeight="false" outlineLevel="0" collapsed="false">
      <c r="A9" s="11" t="n">
        <v>8</v>
      </c>
      <c r="B9" s="14" t="s">
        <v>49</v>
      </c>
      <c r="C9" s="8" t="s">
        <v>50</v>
      </c>
      <c r="D9" s="8" t="n">
        <v>1</v>
      </c>
      <c r="E9" s="8" t="s">
        <v>51</v>
      </c>
      <c r="F9" s="12" t="n">
        <v>12.95</v>
      </c>
      <c r="G9" s="15" t="n">
        <f aca="false">Table2[[#This Row],[Quantity]]*Table2[[#This Row],[Price]]</f>
        <v>12.95</v>
      </c>
      <c r="H9" s="8" t="s">
        <v>52</v>
      </c>
      <c r="I9" s="16" t="s">
        <v>53</v>
      </c>
      <c r="J9" s="8" t="s">
        <v>54</v>
      </c>
    </row>
    <row r="10" customFormat="false" ht="14.15" hidden="false" customHeight="false" outlineLevel="0" collapsed="false">
      <c r="A10" s="5" t="n">
        <v>9</v>
      </c>
      <c r="B10" s="14" t="s">
        <v>55</v>
      </c>
      <c r="C10" s="8" t="s">
        <v>56</v>
      </c>
      <c r="D10" s="1" t="n">
        <v>1</v>
      </c>
      <c r="E10" s="8" t="s">
        <v>51</v>
      </c>
      <c r="F10" s="17" t="n">
        <v>3.12</v>
      </c>
      <c r="G10" s="17" t="n">
        <f aca="false">Table2[[#This Row],[Quantity]]*Table2[[#This Row],[Price]]</f>
        <v>3.12</v>
      </c>
      <c r="H10" s="8" t="s">
        <v>57</v>
      </c>
      <c r="I10" s="16" t="s">
        <v>58</v>
      </c>
      <c r="J10" s="8" t="s">
        <v>54</v>
      </c>
    </row>
    <row r="11" customFormat="false" ht="14.15" hidden="false" customHeight="false" outlineLevel="0" collapsed="false">
      <c r="A11" s="5" t="n">
        <v>10</v>
      </c>
      <c r="B11" s="14" t="s">
        <v>59</v>
      </c>
      <c r="C11" s="8" t="s">
        <v>60</v>
      </c>
      <c r="D11" s="8" t="n">
        <v>1</v>
      </c>
      <c r="E11" s="8" t="s">
        <v>51</v>
      </c>
      <c r="F11" s="17" t="n">
        <v>3.64</v>
      </c>
      <c r="G11" s="17" t="n">
        <f aca="false">Table2[[#This Row],[Quantity]]*Table2[[#This Row],[Price]]</f>
        <v>3.64</v>
      </c>
      <c r="H11" s="8" t="s">
        <v>61</v>
      </c>
      <c r="I11" s="16" t="s">
        <v>62</v>
      </c>
      <c r="J11" s="8" t="s">
        <v>54</v>
      </c>
    </row>
    <row r="12" customFormat="false" ht="13.8" hidden="false" customHeight="false" outlineLevel="0" collapsed="false">
      <c r="A12" s="5" t="n">
        <v>11</v>
      </c>
      <c r="B12" s="14" t="s">
        <v>63</v>
      </c>
      <c r="C12" s="8" t="s">
        <v>64</v>
      </c>
      <c r="D12" s="8" t="n">
        <v>1</v>
      </c>
      <c r="E12" s="8" t="s">
        <v>65</v>
      </c>
      <c r="F12" s="17" t="n">
        <v>10.98</v>
      </c>
      <c r="G12" s="17" t="n">
        <f aca="false">Table2[[#This Row],[Quantity]]*Table2[[#This Row],[Price]]</f>
        <v>10.98</v>
      </c>
      <c r="H12" s="8" t="s">
        <v>64</v>
      </c>
      <c r="I12" s="16" t="s">
        <v>66</v>
      </c>
      <c r="J12" s="8" t="s">
        <v>67</v>
      </c>
    </row>
    <row r="13" customFormat="false" ht="12.75" hidden="false" customHeight="false" outlineLevel="0" collapsed="false">
      <c r="A13" s="8" t="s">
        <v>68</v>
      </c>
      <c r="B13" s="18"/>
      <c r="C13" s="18"/>
      <c r="D13" s="18"/>
      <c r="E13" s="18"/>
      <c r="F13" s="18"/>
      <c r="G13" s="12" t="n">
        <f aca="false">SUBTOTAL(109,G2:G12)</f>
        <v>111.15</v>
      </c>
      <c r="H13" s="18"/>
      <c r="I13" s="18"/>
      <c r="J13" s="18"/>
    </row>
  </sheetData>
  <hyperlinks>
    <hyperlink ref="I2" r:id="rId1" display="https://www.mcmaster.com/91595A452/"/>
    <hyperlink ref="I3" r:id="rId2" display="https://www.mcmaster.com/91455A120/"/>
    <hyperlink ref="I4" r:id="rId3" display="https://www.mcmaster.com/91290A330/"/>
    <hyperlink ref="I5" r:id="rId4" display="https://www.mcmaster.com/90576A115/"/>
    <hyperlink ref="I6" r:id="rId5" display="https://www.mcmaster.com/94645A229/"/>
    <hyperlink ref="I7" r:id="rId6" display="https://www.mcmaster.com/98688A177/"/>
    <hyperlink ref="I8" r:id="rId7" display="https://www.mcmaster.com/91052A115/"/>
    <hyperlink ref="I9" r:id="rId8" display="https://www.mcmaster.com/8947A142/"/>
    <hyperlink ref="I10" r:id="rId9" display="https://www.mcmaster.com/8947A122/"/>
    <hyperlink ref="I11" r:id="rId10" display="https://www.mcmaster.com/8947A124/"/>
    <hyperlink ref="I12" r:id="rId11" display="https://www.mcmaster.com/94475A214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2016-12-02T03:33:22Z</dcterms:created>
  <dc:creator/>
  <dc:description/>
  <dc:language>en-GB</dc:language>
  <cp:lastModifiedBy/>
  <dcterms:modified xsi:type="dcterms:W3CDTF">2026-02-12T17:16:48Z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